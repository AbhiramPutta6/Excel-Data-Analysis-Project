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pabhi\Downloads\"/>
    </mc:Choice>
  </mc:AlternateContent>
  <xr:revisionPtr revIDLastSave="0" documentId="13_ncr:1_{31B787D7-A841-4BEB-A232-869A4BAA99F5}"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2" r:id="rId3"/>
    <sheet name="Dashboard" sheetId="5"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alcChain>
</file>

<file path=xl/sharedStrings.xml><?xml version="1.0" encoding="utf-8"?>
<sst xmlns="http://schemas.openxmlformats.org/spreadsheetml/2006/main" count="16482" uniqueCount="51">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</sst>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0.00"/>
    <numFmt numFmtId="165" formatCode="_-[$$-409]* #,##0.00_ ;_-[$$-409]* \-#,##0.00\ ;_-[$$-409]* &quot;-&quot;??_ ;_-@_ "/>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165" fontId="0" fillId="0" borderId="0" xfId="42"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E6CF-4175-A8EB-CA8B2394C65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E6CF-4175-A8EB-CA8B2394C65D}"/>
            </c:ext>
          </c:extLst>
        </c:ser>
        <c:dLbls>
          <c:showLegendKey val="0"/>
          <c:showVal val="0"/>
          <c:showCatName val="0"/>
          <c:showSerName val="0"/>
          <c:showPercent val="0"/>
          <c:showBubbleSize val="0"/>
        </c:dLbls>
        <c:gapWidth val="219"/>
        <c:overlap val="-27"/>
        <c:axId val="1924112368"/>
        <c:axId val="1924122448"/>
      </c:barChart>
      <c:catAx>
        <c:axId val="192411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22448"/>
        <c:crosses val="autoZero"/>
        <c:auto val="1"/>
        <c:lblAlgn val="ctr"/>
        <c:lblOffset val="100"/>
        <c:noMultiLvlLbl val="0"/>
      </c:catAx>
      <c:valAx>
        <c:axId val="192412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1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FE25-416C-AE8A-31DC6F51E20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FE25-416C-AE8A-31DC6F51E205}"/>
            </c:ext>
          </c:extLst>
        </c:ser>
        <c:dLbls>
          <c:showLegendKey val="0"/>
          <c:showVal val="0"/>
          <c:showCatName val="0"/>
          <c:showSerName val="0"/>
          <c:showPercent val="0"/>
          <c:showBubbleSize val="0"/>
        </c:dLbls>
        <c:smooth val="0"/>
        <c:axId val="1924088368"/>
        <c:axId val="1924089328"/>
      </c:lineChart>
      <c:catAx>
        <c:axId val="1924088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89328"/>
        <c:crosses val="autoZero"/>
        <c:auto val="1"/>
        <c:lblAlgn val="ctr"/>
        <c:lblOffset val="100"/>
        <c:noMultiLvlLbl val="0"/>
      </c:catAx>
      <c:valAx>
        <c:axId val="192408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08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1F16-422A-ACA5-FA712724A77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1F16-422A-ACA5-FA712724A773}"/>
            </c:ext>
          </c:extLst>
        </c:ser>
        <c:dLbls>
          <c:showLegendKey val="0"/>
          <c:showVal val="0"/>
          <c:showCatName val="0"/>
          <c:showSerName val="0"/>
          <c:showPercent val="0"/>
          <c:showBubbleSize val="0"/>
        </c:dLbls>
        <c:marker val="1"/>
        <c:smooth val="0"/>
        <c:axId val="1929848703"/>
        <c:axId val="1929838143"/>
      </c:lineChart>
      <c:catAx>
        <c:axId val="192984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38143"/>
        <c:crosses val="autoZero"/>
        <c:auto val="1"/>
        <c:lblAlgn val="ctr"/>
        <c:lblOffset val="100"/>
        <c:noMultiLvlLbl val="0"/>
      </c:catAx>
      <c:valAx>
        <c:axId val="192983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4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53449.612403100778</c:v>
                </c:pt>
                <c:pt idx="1">
                  <c:v>56520.146520146518</c:v>
                </c:pt>
              </c:numCache>
            </c:numRef>
          </c:val>
          <c:extLst>
            <c:ext xmlns:c16="http://schemas.microsoft.com/office/drawing/2014/chart" uri="{C3380CC4-5D6E-409C-BE32-E72D297353CC}">
              <c16:uniqueId val="{00000000-6F50-4EE2-92E7-0356AEDB7FF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55267.489711934155</c:v>
                </c:pt>
                <c:pt idx="1">
                  <c:v>59603.174603174601</c:v>
                </c:pt>
              </c:numCache>
            </c:numRef>
          </c:val>
          <c:extLst>
            <c:ext xmlns:c16="http://schemas.microsoft.com/office/drawing/2014/chart" uri="{C3380CC4-5D6E-409C-BE32-E72D297353CC}">
              <c16:uniqueId val="{00000001-6F50-4EE2-92E7-0356AEDB7FFA}"/>
            </c:ext>
          </c:extLst>
        </c:ser>
        <c:dLbls>
          <c:showLegendKey val="0"/>
          <c:showVal val="0"/>
          <c:showCatName val="0"/>
          <c:showSerName val="0"/>
          <c:showPercent val="0"/>
          <c:showBubbleSize val="0"/>
        </c:dLbls>
        <c:gapWidth val="219"/>
        <c:overlap val="-27"/>
        <c:axId val="1924112368"/>
        <c:axId val="1924122448"/>
      </c:barChart>
      <c:catAx>
        <c:axId val="192411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22448"/>
        <c:crosses val="autoZero"/>
        <c:auto val="1"/>
        <c:lblAlgn val="ctr"/>
        <c:lblOffset val="100"/>
        <c:noMultiLvlLbl val="0"/>
      </c:catAx>
      <c:valAx>
        <c:axId val="1924122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4112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CEE6-4B6A-9CD9-BCB4662728AA}"/>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CEE6-4B6A-9CD9-BCB4662728AA}"/>
            </c:ext>
          </c:extLst>
        </c:ser>
        <c:dLbls>
          <c:showLegendKey val="0"/>
          <c:showVal val="0"/>
          <c:showCatName val="0"/>
          <c:showSerName val="0"/>
          <c:showPercent val="0"/>
          <c:showBubbleSize val="0"/>
        </c:dLbls>
        <c:marker val="1"/>
        <c:smooth val="0"/>
        <c:axId val="1929848703"/>
        <c:axId val="1929838143"/>
      </c:lineChart>
      <c:catAx>
        <c:axId val="1929848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38143"/>
        <c:crosses val="autoZero"/>
        <c:auto val="1"/>
        <c:lblAlgn val="ctr"/>
        <c:lblOffset val="100"/>
        <c:noMultiLvlLbl val="0"/>
      </c:catAx>
      <c:valAx>
        <c:axId val="19298381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84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87A4-4131-BFC0-30A5DE3F81D0}"/>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87A4-4131-BFC0-30A5DE3F81D0}"/>
            </c:ext>
          </c:extLst>
        </c:ser>
        <c:dLbls>
          <c:showLegendKey val="0"/>
          <c:showVal val="0"/>
          <c:showCatName val="0"/>
          <c:showSerName val="0"/>
          <c:showPercent val="0"/>
          <c:showBubbleSize val="0"/>
        </c:dLbls>
        <c:marker val="1"/>
        <c:smooth val="0"/>
        <c:axId val="1924088368"/>
        <c:axId val="1924089328"/>
      </c:lineChart>
      <c:catAx>
        <c:axId val="1924088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4089328"/>
        <c:crosses val="autoZero"/>
        <c:auto val="1"/>
        <c:lblAlgn val="ctr"/>
        <c:lblOffset val="100"/>
        <c:noMultiLvlLbl val="0"/>
      </c:catAx>
      <c:valAx>
        <c:axId val="19240893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2408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251460</xdr:colOff>
      <xdr:row>0</xdr:row>
      <xdr:rowOff>57150</xdr:rowOff>
    </xdr:from>
    <xdr:to>
      <xdr:col>9</xdr:col>
      <xdr:colOff>274320</xdr:colOff>
      <xdr:row>15</xdr:row>
      <xdr:rowOff>57150</xdr:rowOff>
    </xdr:to>
    <xdr:graphicFrame macro="">
      <xdr:nvGraphicFramePr>
        <xdr:cNvPr id="2" name="Chart 1">
          <a:extLst>
            <a:ext uri="{FF2B5EF4-FFF2-40B4-BE49-F238E27FC236}">
              <a16:creationId xmlns:a16="http://schemas.microsoft.com/office/drawing/2014/main" id="{82C056B4-A6C2-16F5-556E-C84646198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18</xdr:row>
      <xdr:rowOff>163830</xdr:rowOff>
    </xdr:from>
    <xdr:to>
      <xdr:col>9</xdr:col>
      <xdr:colOff>38100</xdr:colOff>
      <xdr:row>33</xdr:row>
      <xdr:rowOff>163830</xdr:rowOff>
    </xdr:to>
    <xdr:graphicFrame macro="">
      <xdr:nvGraphicFramePr>
        <xdr:cNvPr id="4" name="Chart 3">
          <a:extLst>
            <a:ext uri="{FF2B5EF4-FFF2-40B4-BE49-F238E27FC236}">
              <a16:creationId xmlns:a16="http://schemas.microsoft.com/office/drawing/2014/main" id="{00D4DBE6-E27B-4717-76B3-CE4B89CF8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39</xdr:row>
      <xdr:rowOff>163830</xdr:rowOff>
    </xdr:from>
    <xdr:to>
      <xdr:col>8</xdr:col>
      <xdr:colOff>510540</xdr:colOff>
      <xdr:row>54</xdr:row>
      <xdr:rowOff>163830</xdr:rowOff>
    </xdr:to>
    <xdr:graphicFrame macro="">
      <xdr:nvGraphicFramePr>
        <xdr:cNvPr id="3" name="Chart 2">
          <a:extLst>
            <a:ext uri="{FF2B5EF4-FFF2-40B4-BE49-F238E27FC236}">
              <a16:creationId xmlns:a16="http://schemas.microsoft.com/office/drawing/2014/main" id="{05C63E1B-4EA5-182F-2C62-9386F689B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xdr:colOff>
      <xdr:row>6</xdr:row>
      <xdr:rowOff>113595</xdr:rowOff>
    </xdr:from>
    <xdr:to>
      <xdr:col>8</xdr:col>
      <xdr:colOff>228599</xdr:colOff>
      <xdr:row>21</xdr:row>
      <xdr:rowOff>140545</xdr:rowOff>
    </xdr:to>
    <xdr:graphicFrame macro="">
      <xdr:nvGraphicFramePr>
        <xdr:cNvPr id="2" name="Chart 1">
          <a:extLst>
            <a:ext uri="{FF2B5EF4-FFF2-40B4-BE49-F238E27FC236}">
              <a16:creationId xmlns:a16="http://schemas.microsoft.com/office/drawing/2014/main" id="{9185DCBA-9DAA-4A74-A22B-E40254FB7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6</xdr:row>
      <xdr:rowOff>104070</xdr:rowOff>
    </xdr:from>
    <xdr:to>
      <xdr:col>15</xdr:col>
      <xdr:colOff>28575</xdr:colOff>
      <xdr:row>21</xdr:row>
      <xdr:rowOff>136089</xdr:rowOff>
    </xdr:to>
    <xdr:graphicFrame macro="">
      <xdr:nvGraphicFramePr>
        <xdr:cNvPr id="3" name="Chart 2">
          <a:extLst>
            <a:ext uri="{FF2B5EF4-FFF2-40B4-BE49-F238E27FC236}">
              <a16:creationId xmlns:a16="http://schemas.microsoft.com/office/drawing/2014/main" id="{B807CA8A-6B54-43F4-B455-E0D18A7CD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22</xdr:row>
      <xdr:rowOff>118532</xdr:rowOff>
    </xdr:from>
    <xdr:to>
      <xdr:col>15</xdr:col>
      <xdr:colOff>0</xdr:colOff>
      <xdr:row>38</xdr:row>
      <xdr:rowOff>16933</xdr:rowOff>
    </xdr:to>
    <xdr:graphicFrame macro="">
      <xdr:nvGraphicFramePr>
        <xdr:cNvPr id="4" name="Chart 3">
          <a:extLst>
            <a:ext uri="{FF2B5EF4-FFF2-40B4-BE49-F238E27FC236}">
              <a16:creationId xmlns:a16="http://schemas.microsoft.com/office/drawing/2014/main" id="{DF8563B9-BF69-424D-9509-FB5489EAE3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20957</xdr:rowOff>
    </xdr:from>
    <xdr:to>
      <xdr:col>2</xdr:col>
      <xdr:colOff>57150</xdr:colOff>
      <xdr:row>11</xdr:row>
      <xdr:rowOff>133350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2C2D2E1-9403-482F-797B-A2317AF000B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06807"/>
              <a:ext cx="1276350" cy="10172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129541</xdr:rowOff>
    </xdr:from>
    <xdr:to>
      <xdr:col>2</xdr:col>
      <xdr:colOff>57149</xdr:colOff>
      <xdr:row>29</xdr:row>
      <xdr:rowOff>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DE58A6F7-ED8F-D830-2D3C-784FF7FD85C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568066"/>
              <a:ext cx="1276349" cy="1680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152401</xdr:rowOff>
    </xdr:from>
    <xdr:to>
      <xdr:col>2</xdr:col>
      <xdr:colOff>76200</xdr:colOff>
      <xdr:row>19</xdr:row>
      <xdr:rowOff>104775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F955089-3CD1-389D-0C60-66B62566F9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143126"/>
              <a:ext cx="1295400" cy="1400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bhi" refreshedDate="46173.934634606485" createdVersion="8" refreshedVersion="8" minRefreshableVersion="3" recordCount="1026" xr:uid="{3795537D-7C5F-4373-B8A5-05C67CE3EE36}">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884841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696F5-17ED-41A6-95FD-329CF8A49E73}"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D11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968640-4635-43DE-8681-D8C5075466E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D86D2A-DB1E-4B2C-84B6-D83115169B1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28B3E-DBFF-4F02-AA0F-22518AB67630}"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3">
    <format dxfId="2">
      <pivotArea outline="0" collapsedLevelsAreSubtotals="1" fieldPosition="0">
        <references count="1">
          <reference field="13" count="1" selected="0">
            <x v="0"/>
          </reference>
        </references>
      </pivotArea>
    </format>
    <format dxfId="1">
      <pivotArea outline="0" collapsedLevelsAreSubtotals="1" fieldPosition="0">
        <references count="1">
          <reference field="13" count="1" selected="0">
            <x v="1"/>
          </reference>
        </references>
      </pivotArea>
    </format>
    <format dxfId="0">
      <pivotArea grandCol="1"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B10D14C-2A1F-4C90-BCD7-9ACB2F0951D5}" sourceName="Marital Status">
  <pivotTables>
    <pivotTable tabId="2" name="PivotTable1"/>
    <pivotTable tabId="2" name="PivotTable2"/>
    <pivotTable tabId="2" name="PivotTable3"/>
    <pivotTable tabId="2" name="PivotTable4"/>
  </pivotTables>
  <data>
    <tabular pivotCacheId="2884841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B910482-DFFE-4CA4-AE24-DF571BE99EC6}" sourceName="Education">
  <pivotTables>
    <pivotTable tabId="2" name="PivotTable1"/>
    <pivotTable tabId="2" name="PivotTable2"/>
    <pivotTable tabId="2" name="PivotTable3"/>
    <pivotTable tabId="2" name="PivotTable4"/>
  </pivotTables>
  <data>
    <tabular pivotCacheId="2884841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0131CF-3FA3-46EE-AAD6-5F224D736C13}" sourceName="Region">
  <pivotTables>
    <pivotTable tabId="2" name="PivotTable1"/>
    <pivotTable tabId="2" name="PivotTable2"/>
    <pivotTable tabId="2" name="PivotTable3"/>
    <pivotTable tabId="2" name="PivotTable4"/>
  </pivotTables>
  <data>
    <tabular pivotCacheId="2884841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5B97BD4-D4F3-4FAF-AC16-68F4208912CF}" cache="Slicer_Marital_Status" caption="Marital Status" rowHeight="234950"/>
  <slicer name="Education" xr10:uid="{10B357BC-551B-416D-BBDA-FE164BC745DF}" cache="Slicer_Education" caption="Education" rowHeight="234950"/>
  <slicer name="Region" xr10:uid="{39629AB3-9E0D-4A66-B11B-86FCA04F16E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activeCell="D2" sqref="D2:D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75CA9-9638-41FF-8BF1-2599301499E0}">
  <dimension ref="A1:N1027"/>
  <sheetViews>
    <sheetView zoomScale="93" workbookViewId="0">
      <selection activeCell="M7" sqref="M7"/>
    </sheetView>
  </sheetViews>
  <sheetFormatPr defaultColWidth="15.33203125" defaultRowHeight="14.4" x14ac:dyDescent="0.3"/>
  <cols>
    <col min="3" max="3" width="15.33203125" customWidth="1"/>
    <col min="4" max="4" width="15.33203125" style="3" customWidth="1"/>
  </cols>
  <sheetData>
    <row r="1" spans="1:14" x14ac:dyDescent="0.3">
      <c r="A1" t="s">
        <v>0</v>
      </c>
      <c r="B1" t="s">
        <v>1</v>
      </c>
      <c r="C1" t="s">
        <v>2</v>
      </c>
      <c r="D1" s="4"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26" si="15">IF(L963&gt;54,"Old",IF(L963&gt;=31,"Middle Age",IF(L963&lt;31,"Adolescent","Invalid")))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row r="1002" spans="1:14" x14ac:dyDescent="0.3">
      <c r="A1002">
        <v>13507</v>
      </c>
      <c r="B1002" t="s">
        <v>36</v>
      </c>
      <c r="C1002" t="s">
        <v>38</v>
      </c>
      <c r="D1002" s="1">
        <v>10000</v>
      </c>
      <c r="E1002">
        <v>2</v>
      </c>
      <c r="F1002" t="s">
        <v>19</v>
      </c>
      <c r="G1002" t="s">
        <v>25</v>
      </c>
      <c r="H1002" t="s">
        <v>15</v>
      </c>
      <c r="I1002">
        <v>0</v>
      </c>
      <c r="J1002" t="s">
        <v>26</v>
      </c>
      <c r="K1002" t="s">
        <v>17</v>
      </c>
      <c r="L1002">
        <v>50</v>
      </c>
      <c r="M1002" t="str">
        <f t="shared" si="15"/>
        <v>Middle Age</v>
      </c>
      <c r="N1002" t="s">
        <v>18</v>
      </c>
    </row>
    <row r="1003" spans="1:14" x14ac:dyDescent="0.3">
      <c r="A1003">
        <v>19280</v>
      </c>
      <c r="B1003" t="s">
        <v>36</v>
      </c>
      <c r="C1003" t="s">
        <v>39</v>
      </c>
      <c r="D1003" s="1">
        <v>120000</v>
      </c>
      <c r="E1003">
        <v>2</v>
      </c>
      <c r="F1003" t="s">
        <v>19</v>
      </c>
      <c r="G1003" t="s">
        <v>25</v>
      </c>
      <c r="H1003" t="s">
        <v>15</v>
      </c>
      <c r="I1003">
        <v>1</v>
      </c>
      <c r="J1003" t="s">
        <v>16</v>
      </c>
      <c r="K1003" t="s">
        <v>17</v>
      </c>
      <c r="L1003">
        <v>40</v>
      </c>
      <c r="M1003" t="str">
        <f t="shared" si="15"/>
        <v>Middle Age</v>
      </c>
      <c r="N1003" t="s">
        <v>15</v>
      </c>
    </row>
    <row r="1004" spans="1:14" x14ac:dyDescent="0.3">
      <c r="A1004">
        <v>22173</v>
      </c>
      <c r="B1004" t="s">
        <v>36</v>
      </c>
      <c r="C1004" t="s">
        <v>38</v>
      </c>
      <c r="D1004" s="1">
        <v>30000</v>
      </c>
      <c r="E1004">
        <v>3</v>
      </c>
      <c r="F1004" t="s">
        <v>27</v>
      </c>
      <c r="G1004" t="s">
        <v>14</v>
      </c>
      <c r="H1004" t="s">
        <v>18</v>
      </c>
      <c r="I1004">
        <v>2</v>
      </c>
      <c r="J1004" t="s">
        <v>26</v>
      </c>
      <c r="K1004" t="s">
        <v>24</v>
      </c>
      <c r="L1004">
        <v>54</v>
      </c>
      <c r="M1004" t="str">
        <f t="shared" si="15"/>
        <v>Middle Age</v>
      </c>
      <c r="N1004" t="s">
        <v>15</v>
      </c>
    </row>
    <row r="1005" spans="1:14" x14ac:dyDescent="0.3">
      <c r="A1005">
        <v>12697</v>
      </c>
      <c r="B1005" t="s">
        <v>37</v>
      </c>
      <c r="C1005" t="s">
        <v>38</v>
      </c>
      <c r="D1005" s="1">
        <v>90000</v>
      </c>
      <c r="E1005">
        <v>0</v>
      </c>
      <c r="F1005" t="s">
        <v>13</v>
      </c>
      <c r="G1005" t="s">
        <v>21</v>
      </c>
      <c r="H1005" t="s">
        <v>18</v>
      </c>
      <c r="I1005">
        <v>4</v>
      </c>
      <c r="J1005" t="s">
        <v>46</v>
      </c>
      <c r="K1005" t="s">
        <v>24</v>
      </c>
      <c r="L1005">
        <v>36</v>
      </c>
      <c r="M1005" t="str">
        <f t="shared" si="15"/>
        <v>Middle Age</v>
      </c>
      <c r="N1005" t="s">
        <v>18</v>
      </c>
    </row>
    <row r="1006" spans="1:14" x14ac:dyDescent="0.3">
      <c r="A1006">
        <v>11434</v>
      </c>
      <c r="B1006" t="s">
        <v>36</v>
      </c>
      <c r="C1006" t="s">
        <v>39</v>
      </c>
      <c r="D1006" s="1">
        <v>170000</v>
      </c>
      <c r="E1006">
        <v>5</v>
      </c>
      <c r="F1006" t="s">
        <v>19</v>
      </c>
      <c r="G1006" t="s">
        <v>21</v>
      </c>
      <c r="H1006" t="s">
        <v>15</v>
      </c>
      <c r="I1006">
        <v>0</v>
      </c>
      <c r="J1006" t="s">
        <v>16</v>
      </c>
      <c r="K1006" t="s">
        <v>17</v>
      </c>
      <c r="L1006">
        <v>55</v>
      </c>
      <c r="M1006" t="str">
        <f t="shared" si="15"/>
        <v>Old</v>
      </c>
      <c r="N1006" t="s">
        <v>18</v>
      </c>
    </row>
    <row r="1007" spans="1:14" x14ac:dyDescent="0.3">
      <c r="A1007">
        <v>25323</v>
      </c>
      <c r="B1007" t="s">
        <v>36</v>
      </c>
      <c r="C1007" t="s">
        <v>39</v>
      </c>
      <c r="D1007" s="1">
        <v>40000</v>
      </c>
      <c r="E1007">
        <v>2</v>
      </c>
      <c r="F1007" t="s">
        <v>19</v>
      </c>
      <c r="G1007" t="s">
        <v>20</v>
      </c>
      <c r="H1007" t="s">
        <v>15</v>
      </c>
      <c r="I1007">
        <v>1</v>
      </c>
      <c r="J1007" t="s">
        <v>26</v>
      </c>
      <c r="K1007" t="s">
        <v>17</v>
      </c>
      <c r="L1007">
        <v>35</v>
      </c>
      <c r="M1007" t="str">
        <f t="shared" si="15"/>
        <v>Middle Age</v>
      </c>
      <c r="N1007" t="s">
        <v>15</v>
      </c>
    </row>
    <row r="1008" spans="1:14" x14ac:dyDescent="0.3">
      <c r="A1008">
        <v>23542</v>
      </c>
      <c r="B1008" t="s">
        <v>37</v>
      </c>
      <c r="C1008" t="s">
        <v>39</v>
      </c>
      <c r="D1008" s="1">
        <v>60000</v>
      </c>
      <c r="E1008">
        <v>1</v>
      </c>
      <c r="F1008" t="s">
        <v>19</v>
      </c>
      <c r="G1008" t="s">
        <v>14</v>
      </c>
      <c r="H1008" t="s">
        <v>18</v>
      </c>
      <c r="I1008">
        <v>1</v>
      </c>
      <c r="J1008" t="s">
        <v>16</v>
      </c>
      <c r="K1008" t="s">
        <v>24</v>
      </c>
      <c r="L1008">
        <v>45</v>
      </c>
      <c r="M1008" t="str">
        <f t="shared" si="15"/>
        <v>Middle Age</v>
      </c>
      <c r="N1008" t="s">
        <v>15</v>
      </c>
    </row>
    <row r="1009" spans="1:14" x14ac:dyDescent="0.3">
      <c r="A1009">
        <v>20870</v>
      </c>
      <c r="B1009" t="s">
        <v>37</v>
      </c>
      <c r="C1009" t="s">
        <v>38</v>
      </c>
      <c r="D1009" s="1">
        <v>10000</v>
      </c>
      <c r="E1009">
        <v>2</v>
      </c>
      <c r="F1009" t="s">
        <v>27</v>
      </c>
      <c r="G1009" t="s">
        <v>25</v>
      </c>
      <c r="H1009" t="s">
        <v>15</v>
      </c>
      <c r="I1009">
        <v>1</v>
      </c>
      <c r="J1009" t="s">
        <v>16</v>
      </c>
      <c r="K1009" t="s">
        <v>17</v>
      </c>
      <c r="L1009">
        <v>38</v>
      </c>
      <c r="M1009" t="str">
        <f t="shared" si="15"/>
        <v>Middle Age</v>
      </c>
      <c r="N1009" t="s">
        <v>15</v>
      </c>
    </row>
    <row r="1010" spans="1:14" x14ac:dyDescent="0.3">
      <c r="A1010">
        <v>23316</v>
      </c>
      <c r="B1010" t="s">
        <v>37</v>
      </c>
      <c r="C1010" t="s">
        <v>39</v>
      </c>
      <c r="D1010" s="1">
        <v>30000</v>
      </c>
      <c r="E1010">
        <v>3</v>
      </c>
      <c r="F1010" t="s">
        <v>19</v>
      </c>
      <c r="G1010" t="s">
        <v>20</v>
      </c>
      <c r="H1010" t="s">
        <v>18</v>
      </c>
      <c r="I1010">
        <v>2</v>
      </c>
      <c r="J1010" t="s">
        <v>26</v>
      </c>
      <c r="K1010" t="s">
        <v>24</v>
      </c>
      <c r="L1010">
        <v>59</v>
      </c>
      <c r="M1010" t="str">
        <f t="shared" si="15"/>
        <v>Old</v>
      </c>
      <c r="N1010" t="s">
        <v>15</v>
      </c>
    </row>
    <row r="1011" spans="1:14" x14ac:dyDescent="0.3">
      <c r="A1011">
        <v>12610</v>
      </c>
      <c r="B1011" t="s">
        <v>36</v>
      </c>
      <c r="C1011" t="s">
        <v>38</v>
      </c>
      <c r="D1011" s="1">
        <v>30000</v>
      </c>
      <c r="E1011">
        <v>1</v>
      </c>
      <c r="F1011" t="s">
        <v>13</v>
      </c>
      <c r="G1011" t="s">
        <v>20</v>
      </c>
      <c r="H1011" t="s">
        <v>15</v>
      </c>
      <c r="I1011">
        <v>0</v>
      </c>
      <c r="J1011" t="s">
        <v>16</v>
      </c>
      <c r="K1011" t="s">
        <v>17</v>
      </c>
      <c r="L1011">
        <v>47</v>
      </c>
      <c r="M1011" t="str">
        <f t="shared" si="15"/>
        <v>Middle Age</v>
      </c>
      <c r="N1011" t="s">
        <v>18</v>
      </c>
    </row>
    <row r="1012" spans="1:14" x14ac:dyDescent="0.3">
      <c r="A1012">
        <v>27183</v>
      </c>
      <c r="B1012" t="s">
        <v>37</v>
      </c>
      <c r="C1012" t="s">
        <v>39</v>
      </c>
      <c r="D1012" s="1">
        <v>40000</v>
      </c>
      <c r="E1012">
        <v>2</v>
      </c>
      <c r="F1012" t="s">
        <v>19</v>
      </c>
      <c r="G1012" t="s">
        <v>20</v>
      </c>
      <c r="H1012" t="s">
        <v>15</v>
      </c>
      <c r="I1012">
        <v>1</v>
      </c>
      <c r="J1012" t="s">
        <v>26</v>
      </c>
      <c r="K1012" t="s">
        <v>17</v>
      </c>
      <c r="L1012">
        <v>35</v>
      </c>
      <c r="M1012" t="str">
        <f t="shared" si="15"/>
        <v>Middle Age</v>
      </c>
      <c r="N1012" t="s">
        <v>15</v>
      </c>
    </row>
    <row r="1013" spans="1:14" x14ac:dyDescent="0.3">
      <c r="A1013">
        <v>25940</v>
      </c>
      <c r="B1013" t="s">
        <v>37</v>
      </c>
      <c r="C1013" t="s">
        <v>39</v>
      </c>
      <c r="D1013" s="1">
        <v>20000</v>
      </c>
      <c r="E1013">
        <v>2</v>
      </c>
      <c r="F1013" t="s">
        <v>29</v>
      </c>
      <c r="G1013" t="s">
        <v>20</v>
      </c>
      <c r="H1013" t="s">
        <v>15</v>
      </c>
      <c r="I1013">
        <v>2</v>
      </c>
      <c r="J1013" t="s">
        <v>23</v>
      </c>
      <c r="K1013" t="s">
        <v>24</v>
      </c>
      <c r="L1013">
        <v>55</v>
      </c>
      <c r="M1013" t="str">
        <f t="shared" si="15"/>
        <v>Old</v>
      </c>
      <c r="N1013" t="s">
        <v>15</v>
      </c>
    </row>
    <row r="1014" spans="1:14" x14ac:dyDescent="0.3">
      <c r="A1014">
        <v>25598</v>
      </c>
      <c r="B1014" t="s">
        <v>36</v>
      </c>
      <c r="C1014" t="s">
        <v>38</v>
      </c>
      <c r="D1014" s="1">
        <v>40000</v>
      </c>
      <c r="E1014">
        <v>0</v>
      </c>
      <c r="F1014" t="s">
        <v>31</v>
      </c>
      <c r="G1014" t="s">
        <v>20</v>
      </c>
      <c r="H1014" t="s">
        <v>15</v>
      </c>
      <c r="I1014">
        <v>0</v>
      </c>
      <c r="J1014" t="s">
        <v>16</v>
      </c>
      <c r="K1014" t="s">
        <v>17</v>
      </c>
      <c r="L1014">
        <v>36</v>
      </c>
      <c r="M1014" t="str">
        <f t="shared" si="15"/>
        <v>Middle Age</v>
      </c>
      <c r="N1014" t="s">
        <v>15</v>
      </c>
    </row>
    <row r="1015" spans="1:14" x14ac:dyDescent="0.3">
      <c r="A1015">
        <v>21564</v>
      </c>
      <c r="B1015" t="s">
        <v>37</v>
      </c>
      <c r="C1015" t="s">
        <v>38</v>
      </c>
      <c r="D1015" s="1">
        <v>80000</v>
      </c>
      <c r="E1015">
        <v>0</v>
      </c>
      <c r="F1015" t="s">
        <v>13</v>
      </c>
      <c r="G1015" t="s">
        <v>21</v>
      </c>
      <c r="H1015" t="s">
        <v>15</v>
      </c>
      <c r="I1015">
        <v>4</v>
      </c>
      <c r="J1015" t="s">
        <v>46</v>
      </c>
      <c r="K1015" t="s">
        <v>24</v>
      </c>
      <c r="L1015">
        <v>35</v>
      </c>
      <c r="M1015" t="str">
        <f t="shared" si="15"/>
        <v>Middle Age</v>
      </c>
      <c r="N1015" t="s">
        <v>18</v>
      </c>
    </row>
    <row r="1016" spans="1:14" x14ac:dyDescent="0.3">
      <c r="A1016">
        <v>19193</v>
      </c>
      <c r="B1016" t="s">
        <v>37</v>
      </c>
      <c r="C1016" t="s">
        <v>39</v>
      </c>
      <c r="D1016" s="1">
        <v>40000</v>
      </c>
      <c r="E1016">
        <v>2</v>
      </c>
      <c r="F1016" t="s">
        <v>19</v>
      </c>
      <c r="G1016" t="s">
        <v>20</v>
      </c>
      <c r="H1016" t="s">
        <v>15</v>
      </c>
      <c r="I1016">
        <v>0</v>
      </c>
      <c r="J1016" t="s">
        <v>26</v>
      </c>
      <c r="K1016" t="s">
        <v>17</v>
      </c>
      <c r="L1016">
        <v>35</v>
      </c>
      <c r="M1016" t="str">
        <f t="shared" si="15"/>
        <v>Middle Age</v>
      </c>
      <c r="N1016" t="s">
        <v>15</v>
      </c>
    </row>
    <row r="1017" spans="1:14" x14ac:dyDescent="0.3">
      <c r="A1017">
        <v>26412</v>
      </c>
      <c r="B1017" t="s">
        <v>36</v>
      </c>
      <c r="C1017" t="s">
        <v>38</v>
      </c>
      <c r="D1017" s="1">
        <v>80000</v>
      </c>
      <c r="E1017">
        <v>5</v>
      </c>
      <c r="F1017" t="s">
        <v>27</v>
      </c>
      <c r="G1017" t="s">
        <v>28</v>
      </c>
      <c r="H1017" t="s">
        <v>18</v>
      </c>
      <c r="I1017">
        <v>3</v>
      </c>
      <c r="J1017" t="s">
        <v>23</v>
      </c>
      <c r="K1017" t="s">
        <v>17</v>
      </c>
      <c r="L1017">
        <v>56</v>
      </c>
      <c r="M1017" t="str">
        <f t="shared" si="15"/>
        <v>Old</v>
      </c>
      <c r="N1017" t="s">
        <v>18</v>
      </c>
    </row>
    <row r="1018" spans="1:14" x14ac:dyDescent="0.3">
      <c r="A1018">
        <v>27184</v>
      </c>
      <c r="B1018" t="s">
        <v>37</v>
      </c>
      <c r="C1018" t="s">
        <v>39</v>
      </c>
      <c r="D1018" s="1">
        <v>40000</v>
      </c>
      <c r="E1018">
        <v>2</v>
      </c>
      <c r="F1018" t="s">
        <v>19</v>
      </c>
      <c r="G1018" t="s">
        <v>20</v>
      </c>
      <c r="H1018" t="s">
        <v>18</v>
      </c>
      <c r="I1018">
        <v>1</v>
      </c>
      <c r="J1018" t="s">
        <v>16</v>
      </c>
      <c r="K1018" t="s">
        <v>17</v>
      </c>
      <c r="L1018">
        <v>34</v>
      </c>
      <c r="M1018" t="str">
        <f t="shared" si="15"/>
        <v>Middle Age</v>
      </c>
      <c r="N1018" t="s">
        <v>18</v>
      </c>
    </row>
    <row r="1019" spans="1:14" x14ac:dyDescent="0.3">
      <c r="A1019">
        <v>12590</v>
      </c>
      <c r="B1019" t="s">
        <v>37</v>
      </c>
      <c r="C1019" t="s">
        <v>39</v>
      </c>
      <c r="D1019" s="1">
        <v>30000</v>
      </c>
      <c r="E1019">
        <v>1</v>
      </c>
      <c r="F1019" t="s">
        <v>13</v>
      </c>
      <c r="G1019" t="s">
        <v>20</v>
      </c>
      <c r="H1019" t="s">
        <v>15</v>
      </c>
      <c r="I1019">
        <v>0</v>
      </c>
      <c r="J1019" t="s">
        <v>16</v>
      </c>
      <c r="K1019" t="s">
        <v>17</v>
      </c>
      <c r="L1019">
        <v>63</v>
      </c>
      <c r="M1019" t="str">
        <f t="shared" si="15"/>
        <v>Old</v>
      </c>
      <c r="N1019" t="s">
        <v>18</v>
      </c>
    </row>
    <row r="1020" spans="1:14" x14ac:dyDescent="0.3">
      <c r="A1020">
        <v>17841</v>
      </c>
      <c r="B1020" t="s">
        <v>37</v>
      </c>
      <c r="C1020" t="s">
        <v>39</v>
      </c>
      <c r="D1020" s="1">
        <v>30000</v>
      </c>
      <c r="E1020">
        <v>0</v>
      </c>
      <c r="F1020" t="s">
        <v>19</v>
      </c>
      <c r="G1020" t="s">
        <v>20</v>
      </c>
      <c r="H1020" t="s">
        <v>18</v>
      </c>
      <c r="I1020">
        <v>1</v>
      </c>
      <c r="J1020" t="s">
        <v>16</v>
      </c>
      <c r="K1020" t="s">
        <v>17</v>
      </c>
      <c r="L1020">
        <v>29</v>
      </c>
      <c r="M1020" t="str">
        <f t="shared" si="15"/>
        <v>Adolescent</v>
      </c>
      <c r="N1020" t="s">
        <v>15</v>
      </c>
    </row>
    <row r="1021" spans="1:14" x14ac:dyDescent="0.3">
      <c r="A1021">
        <v>18283</v>
      </c>
      <c r="B1021" t="s">
        <v>37</v>
      </c>
      <c r="C1021" t="s">
        <v>38</v>
      </c>
      <c r="D1021" s="1">
        <v>100000</v>
      </c>
      <c r="E1021">
        <v>0</v>
      </c>
      <c r="F1021" t="s">
        <v>13</v>
      </c>
      <c r="G1021" t="s">
        <v>21</v>
      </c>
      <c r="H1021" t="s">
        <v>18</v>
      </c>
      <c r="I1021">
        <v>1</v>
      </c>
      <c r="J1021" t="s">
        <v>23</v>
      </c>
      <c r="K1021" t="s">
        <v>24</v>
      </c>
      <c r="L1021">
        <v>40</v>
      </c>
      <c r="M1021" t="str">
        <f t="shared" si="15"/>
        <v>Middle Age</v>
      </c>
      <c r="N1021" t="s">
        <v>18</v>
      </c>
    </row>
    <row r="1022" spans="1:14" x14ac:dyDescent="0.3">
      <c r="A1022">
        <v>18299</v>
      </c>
      <c r="B1022" t="s">
        <v>36</v>
      </c>
      <c r="C1022" t="s">
        <v>39</v>
      </c>
      <c r="D1022" s="1">
        <v>70000</v>
      </c>
      <c r="E1022">
        <v>5</v>
      </c>
      <c r="F1022" t="s">
        <v>19</v>
      </c>
      <c r="G1022" t="s">
        <v>14</v>
      </c>
      <c r="H1022" t="s">
        <v>15</v>
      </c>
      <c r="I1022">
        <v>2</v>
      </c>
      <c r="J1022" t="s">
        <v>23</v>
      </c>
      <c r="K1022" t="s">
        <v>24</v>
      </c>
      <c r="L1022">
        <v>44</v>
      </c>
      <c r="M1022" t="str">
        <f t="shared" si="15"/>
        <v>Middle Age</v>
      </c>
      <c r="N1022" t="s">
        <v>18</v>
      </c>
    </row>
    <row r="1023" spans="1:14" x14ac:dyDescent="0.3">
      <c r="A1023">
        <v>16466</v>
      </c>
      <c r="B1023" t="s">
        <v>37</v>
      </c>
      <c r="C1023" t="s">
        <v>38</v>
      </c>
      <c r="D1023" s="1">
        <v>20000</v>
      </c>
      <c r="E1023">
        <v>0</v>
      </c>
      <c r="F1023" t="s">
        <v>29</v>
      </c>
      <c r="G1023" t="s">
        <v>25</v>
      </c>
      <c r="H1023" t="s">
        <v>18</v>
      </c>
      <c r="I1023">
        <v>2</v>
      </c>
      <c r="J1023" t="s">
        <v>16</v>
      </c>
      <c r="K1023" t="s">
        <v>17</v>
      </c>
      <c r="L1023">
        <v>32</v>
      </c>
      <c r="M1023" t="str">
        <f t="shared" si="15"/>
        <v>Middle Age</v>
      </c>
      <c r="N1023" t="s">
        <v>15</v>
      </c>
    </row>
    <row r="1024" spans="1:14" x14ac:dyDescent="0.3">
      <c r="A1024">
        <v>19273</v>
      </c>
      <c r="B1024" t="s">
        <v>36</v>
      </c>
      <c r="C1024" t="s">
        <v>38</v>
      </c>
      <c r="D1024" s="1">
        <v>20000</v>
      </c>
      <c r="E1024">
        <v>2</v>
      </c>
      <c r="F1024" t="s">
        <v>19</v>
      </c>
      <c r="G1024" t="s">
        <v>25</v>
      </c>
      <c r="H1024" t="s">
        <v>15</v>
      </c>
      <c r="I1024">
        <v>0</v>
      </c>
      <c r="J1024" t="s">
        <v>16</v>
      </c>
      <c r="K1024" t="s">
        <v>17</v>
      </c>
      <c r="L1024">
        <v>63</v>
      </c>
      <c r="M1024" t="str">
        <f t="shared" si="15"/>
        <v>Old</v>
      </c>
      <c r="N1024" t="s">
        <v>18</v>
      </c>
    </row>
    <row r="1025" spans="1:14" x14ac:dyDescent="0.3">
      <c r="A1025">
        <v>22400</v>
      </c>
      <c r="B1025" t="s">
        <v>36</v>
      </c>
      <c r="C1025" t="s">
        <v>39</v>
      </c>
      <c r="D1025" s="1">
        <v>10000</v>
      </c>
      <c r="E1025">
        <v>0</v>
      </c>
      <c r="F1025" t="s">
        <v>19</v>
      </c>
      <c r="G1025" t="s">
        <v>25</v>
      </c>
      <c r="H1025" t="s">
        <v>18</v>
      </c>
      <c r="I1025">
        <v>1</v>
      </c>
      <c r="J1025" t="s">
        <v>16</v>
      </c>
      <c r="K1025" t="s">
        <v>24</v>
      </c>
      <c r="L1025">
        <v>26</v>
      </c>
      <c r="M1025" t="str">
        <f t="shared" si="15"/>
        <v>Adolescent</v>
      </c>
      <c r="N1025" t="s">
        <v>15</v>
      </c>
    </row>
    <row r="1026" spans="1:14" x14ac:dyDescent="0.3">
      <c r="A1026">
        <v>20942</v>
      </c>
      <c r="B1026" t="s">
        <v>37</v>
      </c>
      <c r="C1026" t="s">
        <v>38</v>
      </c>
      <c r="D1026" s="1">
        <v>20000</v>
      </c>
      <c r="E1026">
        <v>0</v>
      </c>
      <c r="F1026" t="s">
        <v>27</v>
      </c>
      <c r="G1026" t="s">
        <v>25</v>
      </c>
      <c r="H1026" t="s">
        <v>18</v>
      </c>
      <c r="I1026">
        <v>1</v>
      </c>
      <c r="J1026" t="s">
        <v>23</v>
      </c>
      <c r="K1026" t="s">
        <v>17</v>
      </c>
      <c r="L1026">
        <v>31</v>
      </c>
      <c r="M1026" t="str">
        <f t="shared" si="15"/>
        <v>Middle Age</v>
      </c>
      <c r="N1026" t="s">
        <v>18</v>
      </c>
    </row>
    <row r="1027" spans="1:14" x14ac:dyDescent="0.3">
      <c r="A1027">
        <v>18484</v>
      </c>
      <c r="B1027" t="s">
        <v>37</v>
      </c>
      <c r="C1027" t="s">
        <v>39</v>
      </c>
      <c r="D1027" s="1">
        <v>80000</v>
      </c>
      <c r="E1027">
        <v>2</v>
      </c>
      <c r="F1027" t="s">
        <v>27</v>
      </c>
      <c r="G1027" t="s">
        <v>14</v>
      </c>
      <c r="H1027" t="s">
        <v>18</v>
      </c>
      <c r="I1027">
        <v>2</v>
      </c>
      <c r="J1027" t="s">
        <v>26</v>
      </c>
      <c r="K1027" t="s">
        <v>24</v>
      </c>
      <c r="L1027">
        <v>50</v>
      </c>
      <c r="M1027" t="str">
        <f t="shared" ref="M1027" si="16">IF(L1027&gt;54,"Old",IF(L1027&gt;=31,"Middle Age",IF(L1027&lt;31,"Adolescent","Invalid")))</f>
        <v>Middle Age</v>
      </c>
      <c r="N1027" t="s">
        <v>15</v>
      </c>
    </row>
  </sheetData>
  <autoFilter ref="A1:N1027" xr:uid="{FCD75CA9-9638-41FF-8BF1-2599301499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FFC7E-D242-4CB2-B906-F4940BCB4234}">
  <dimension ref="A1:D113"/>
  <sheetViews>
    <sheetView workbookViewId="0">
      <selection activeCell="K1" sqref="K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26.6640625" bestFit="1" customWidth="1"/>
    <col min="6" max="6" width="15.44140625" bestFit="1" customWidth="1"/>
  </cols>
  <sheetData>
    <row r="1" spans="1:4" x14ac:dyDescent="0.3">
      <c r="A1" s="5" t="s">
        <v>43</v>
      </c>
      <c r="B1" s="5" t="s">
        <v>44</v>
      </c>
    </row>
    <row r="2" spans="1:4" x14ac:dyDescent="0.3">
      <c r="A2" s="5" t="s">
        <v>41</v>
      </c>
      <c r="B2" t="s">
        <v>18</v>
      </c>
      <c r="C2" t="s">
        <v>15</v>
      </c>
      <c r="D2" t="s">
        <v>42</v>
      </c>
    </row>
    <row r="3" spans="1:4" x14ac:dyDescent="0.3">
      <c r="A3" s="6" t="s">
        <v>38</v>
      </c>
      <c r="B3" s="7">
        <v>53449.612403100778</v>
      </c>
      <c r="C3" s="7">
        <v>55267.489711934155</v>
      </c>
      <c r="D3" s="7">
        <v>54331.337325349305</v>
      </c>
    </row>
    <row r="4" spans="1:4" x14ac:dyDescent="0.3">
      <c r="A4" s="6" t="s">
        <v>39</v>
      </c>
      <c r="B4" s="7">
        <v>56520.146520146518</v>
      </c>
      <c r="C4" s="7">
        <v>59603.174603174601</v>
      </c>
      <c r="D4" s="7">
        <v>58000</v>
      </c>
    </row>
    <row r="5" spans="1:4" x14ac:dyDescent="0.3">
      <c r="A5" s="6" t="s">
        <v>42</v>
      </c>
      <c r="B5" s="7">
        <v>55028.248587570619</v>
      </c>
      <c r="C5" s="7">
        <v>57474.747474747477</v>
      </c>
      <c r="D5" s="7">
        <v>56208.576998050681</v>
      </c>
    </row>
    <row r="20" spans="1:4" x14ac:dyDescent="0.3">
      <c r="A20" s="5" t="s">
        <v>45</v>
      </c>
      <c r="B20" s="5" t="s">
        <v>44</v>
      </c>
    </row>
    <row r="21" spans="1:4" x14ac:dyDescent="0.3">
      <c r="A21" s="5" t="s">
        <v>41</v>
      </c>
      <c r="B21" t="s">
        <v>18</v>
      </c>
      <c r="C21" t="s">
        <v>15</v>
      </c>
      <c r="D21" t="s">
        <v>42</v>
      </c>
    </row>
    <row r="22" spans="1:4" x14ac:dyDescent="0.3">
      <c r="A22" s="6" t="s">
        <v>16</v>
      </c>
      <c r="B22" s="8">
        <v>171</v>
      </c>
      <c r="C22" s="8">
        <v>207</v>
      </c>
      <c r="D22" s="8">
        <v>378</v>
      </c>
    </row>
    <row r="23" spans="1:4" x14ac:dyDescent="0.3">
      <c r="A23" s="6" t="s">
        <v>26</v>
      </c>
      <c r="B23" s="8">
        <v>93</v>
      </c>
      <c r="C23" s="8">
        <v>83</v>
      </c>
      <c r="D23" s="8">
        <v>176</v>
      </c>
    </row>
    <row r="24" spans="1:4" x14ac:dyDescent="0.3">
      <c r="A24" s="6" t="s">
        <v>22</v>
      </c>
      <c r="B24" s="8">
        <v>67</v>
      </c>
      <c r="C24" s="8">
        <v>95</v>
      </c>
      <c r="D24" s="8">
        <v>162</v>
      </c>
    </row>
    <row r="25" spans="1:4" x14ac:dyDescent="0.3">
      <c r="A25" s="6" t="s">
        <v>23</v>
      </c>
      <c r="B25" s="8">
        <v>120</v>
      </c>
      <c r="C25" s="8">
        <v>77</v>
      </c>
      <c r="D25" s="8">
        <v>197</v>
      </c>
    </row>
    <row r="26" spans="1:4" x14ac:dyDescent="0.3">
      <c r="A26" s="6" t="s">
        <v>46</v>
      </c>
      <c r="B26" s="8">
        <v>80</v>
      </c>
      <c r="C26" s="8">
        <v>33</v>
      </c>
      <c r="D26" s="8">
        <v>113</v>
      </c>
    </row>
    <row r="27" spans="1:4" x14ac:dyDescent="0.3">
      <c r="A27" s="6" t="s">
        <v>42</v>
      </c>
      <c r="B27" s="8">
        <v>531</v>
      </c>
      <c r="C27" s="8">
        <v>495</v>
      </c>
      <c r="D27" s="8">
        <v>1026</v>
      </c>
    </row>
    <row r="41" spans="1:4" x14ac:dyDescent="0.3">
      <c r="A41" s="5" t="s">
        <v>45</v>
      </c>
      <c r="B41" s="5" t="s">
        <v>44</v>
      </c>
    </row>
    <row r="42" spans="1:4" x14ac:dyDescent="0.3">
      <c r="A42" s="5" t="s">
        <v>41</v>
      </c>
      <c r="B42" t="s">
        <v>18</v>
      </c>
      <c r="C42" t="s">
        <v>15</v>
      </c>
      <c r="D42" t="s">
        <v>42</v>
      </c>
    </row>
    <row r="43" spans="1:4" x14ac:dyDescent="0.3">
      <c r="A43" s="6" t="s">
        <v>47</v>
      </c>
      <c r="B43" s="8">
        <v>71</v>
      </c>
      <c r="C43" s="8">
        <v>41</v>
      </c>
      <c r="D43" s="8">
        <v>112</v>
      </c>
    </row>
    <row r="44" spans="1:4" x14ac:dyDescent="0.3">
      <c r="A44" s="6" t="s">
        <v>48</v>
      </c>
      <c r="B44" s="8">
        <v>326</v>
      </c>
      <c r="C44" s="8">
        <v>393</v>
      </c>
      <c r="D44" s="8">
        <v>719</v>
      </c>
    </row>
    <row r="45" spans="1:4" x14ac:dyDescent="0.3">
      <c r="A45" s="6" t="s">
        <v>49</v>
      </c>
      <c r="B45" s="8">
        <v>134</v>
      </c>
      <c r="C45" s="8">
        <v>61</v>
      </c>
      <c r="D45" s="8">
        <v>195</v>
      </c>
    </row>
    <row r="46" spans="1:4" x14ac:dyDescent="0.3">
      <c r="A46" s="6" t="s">
        <v>42</v>
      </c>
      <c r="B46" s="8">
        <v>531</v>
      </c>
      <c r="C46" s="8">
        <v>495</v>
      </c>
      <c r="D46" s="8">
        <v>1026</v>
      </c>
    </row>
    <row r="58" spans="1:4" x14ac:dyDescent="0.3">
      <c r="A58" s="5" t="s">
        <v>45</v>
      </c>
      <c r="B58" s="5" t="s">
        <v>44</v>
      </c>
    </row>
    <row r="59" spans="1:4" x14ac:dyDescent="0.3">
      <c r="A59" s="5" t="s">
        <v>41</v>
      </c>
      <c r="B59" t="s">
        <v>18</v>
      </c>
      <c r="C59" t="s">
        <v>15</v>
      </c>
      <c r="D59" t="s">
        <v>42</v>
      </c>
    </row>
    <row r="60" spans="1:4" x14ac:dyDescent="0.3">
      <c r="A60" s="6">
        <v>25</v>
      </c>
      <c r="B60" s="8">
        <v>2</v>
      </c>
      <c r="C60" s="8">
        <v>4</v>
      </c>
      <c r="D60" s="8">
        <v>6</v>
      </c>
    </row>
    <row r="61" spans="1:4" x14ac:dyDescent="0.3">
      <c r="A61" s="6">
        <v>26</v>
      </c>
      <c r="B61" s="8">
        <v>8</v>
      </c>
      <c r="C61" s="8">
        <v>9</v>
      </c>
      <c r="D61" s="8">
        <v>17</v>
      </c>
    </row>
    <row r="62" spans="1:4" x14ac:dyDescent="0.3">
      <c r="A62" s="6">
        <v>27</v>
      </c>
      <c r="B62" s="8">
        <v>15</v>
      </c>
      <c r="C62" s="8">
        <v>8</v>
      </c>
      <c r="D62" s="8">
        <v>23</v>
      </c>
    </row>
    <row r="63" spans="1:4" x14ac:dyDescent="0.3">
      <c r="A63" s="6">
        <v>28</v>
      </c>
      <c r="B63" s="8">
        <v>12</v>
      </c>
      <c r="C63" s="8">
        <v>10</v>
      </c>
      <c r="D63" s="8">
        <v>22</v>
      </c>
    </row>
    <row r="64" spans="1:4" x14ac:dyDescent="0.3">
      <c r="A64" s="6">
        <v>29</v>
      </c>
      <c r="B64" s="8">
        <v>11</v>
      </c>
      <c r="C64" s="8">
        <v>6</v>
      </c>
      <c r="D64" s="8">
        <v>17</v>
      </c>
    </row>
    <row r="65" spans="1:4" x14ac:dyDescent="0.3">
      <c r="A65" s="6">
        <v>30</v>
      </c>
      <c r="B65" s="8">
        <v>23</v>
      </c>
      <c r="C65" s="8">
        <v>4</v>
      </c>
      <c r="D65" s="8">
        <v>27</v>
      </c>
    </row>
    <row r="66" spans="1:4" x14ac:dyDescent="0.3">
      <c r="A66" s="6">
        <v>31</v>
      </c>
      <c r="B66" s="8">
        <v>18</v>
      </c>
      <c r="C66" s="8">
        <v>8</v>
      </c>
      <c r="D66" s="8">
        <v>26</v>
      </c>
    </row>
    <row r="67" spans="1:4" x14ac:dyDescent="0.3">
      <c r="A67" s="6">
        <v>32</v>
      </c>
      <c r="B67" s="8">
        <v>19</v>
      </c>
      <c r="C67" s="8">
        <v>15</v>
      </c>
      <c r="D67" s="8">
        <v>34</v>
      </c>
    </row>
    <row r="68" spans="1:4" x14ac:dyDescent="0.3">
      <c r="A68" s="6">
        <v>33</v>
      </c>
      <c r="B68" s="8">
        <v>8</v>
      </c>
      <c r="C68" s="8">
        <v>13</v>
      </c>
      <c r="D68" s="8">
        <v>21</v>
      </c>
    </row>
    <row r="69" spans="1:4" x14ac:dyDescent="0.3">
      <c r="A69" s="6">
        <v>34</v>
      </c>
      <c r="B69" s="8">
        <v>13</v>
      </c>
      <c r="C69" s="8">
        <v>19</v>
      </c>
      <c r="D69" s="8">
        <v>32</v>
      </c>
    </row>
    <row r="70" spans="1:4" x14ac:dyDescent="0.3">
      <c r="A70" s="6">
        <v>35</v>
      </c>
      <c r="B70" s="8">
        <v>15</v>
      </c>
      <c r="C70" s="8">
        <v>25</v>
      </c>
      <c r="D70" s="8">
        <v>40</v>
      </c>
    </row>
    <row r="71" spans="1:4" x14ac:dyDescent="0.3">
      <c r="A71" s="6">
        <v>36</v>
      </c>
      <c r="B71" s="8">
        <v>8</v>
      </c>
      <c r="C71" s="8">
        <v>31</v>
      </c>
      <c r="D71" s="8">
        <v>39</v>
      </c>
    </row>
    <row r="72" spans="1:4" x14ac:dyDescent="0.3">
      <c r="A72" s="6">
        <v>37</v>
      </c>
      <c r="B72" s="8">
        <v>4</v>
      </c>
      <c r="C72" s="8">
        <v>28</v>
      </c>
      <c r="D72" s="8">
        <v>32</v>
      </c>
    </row>
    <row r="73" spans="1:4" x14ac:dyDescent="0.3">
      <c r="A73" s="6">
        <v>38</v>
      </c>
      <c r="B73" s="8">
        <v>8</v>
      </c>
      <c r="C73" s="8">
        <v>30</v>
      </c>
      <c r="D73" s="8">
        <v>38</v>
      </c>
    </row>
    <row r="74" spans="1:4" x14ac:dyDescent="0.3">
      <c r="A74" s="6">
        <v>39</v>
      </c>
      <c r="B74" s="8">
        <v>10</v>
      </c>
      <c r="C74" s="8">
        <v>12</v>
      </c>
      <c r="D74" s="8">
        <v>22</v>
      </c>
    </row>
    <row r="75" spans="1:4" x14ac:dyDescent="0.3">
      <c r="A75" s="6">
        <v>40</v>
      </c>
      <c r="B75" s="8">
        <v>25</v>
      </c>
      <c r="C75" s="8">
        <v>19</v>
      </c>
      <c r="D75" s="8">
        <v>44</v>
      </c>
    </row>
    <row r="76" spans="1:4" x14ac:dyDescent="0.3">
      <c r="A76" s="6">
        <v>41</v>
      </c>
      <c r="B76" s="8">
        <v>13</v>
      </c>
      <c r="C76" s="8">
        <v>15</v>
      </c>
      <c r="D76" s="8">
        <v>28</v>
      </c>
    </row>
    <row r="77" spans="1:4" x14ac:dyDescent="0.3">
      <c r="A77" s="6">
        <v>42</v>
      </c>
      <c r="B77" s="8">
        <v>22</v>
      </c>
      <c r="C77" s="8">
        <v>12</v>
      </c>
      <c r="D77" s="8">
        <v>34</v>
      </c>
    </row>
    <row r="78" spans="1:4" x14ac:dyDescent="0.3">
      <c r="A78" s="6">
        <v>43</v>
      </c>
      <c r="B78" s="8">
        <v>17</v>
      </c>
      <c r="C78" s="8">
        <v>19</v>
      </c>
      <c r="D78" s="8">
        <v>36</v>
      </c>
    </row>
    <row r="79" spans="1:4" x14ac:dyDescent="0.3">
      <c r="A79" s="6">
        <v>44</v>
      </c>
      <c r="B79" s="8">
        <v>16</v>
      </c>
      <c r="C79" s="8">
        <v>12</v>
      </c>
      <c r="D79" s="8">
        <v>28</v>
      </c>
    </row>
    <row r="80" spans="1:4" x14ac:dyDescent="0.3">
      <c r="A80" s="6">
        <v>45</v>
      </c>
      <c r="B80" s="8">
        <v>18</v>
      </c>
      <c r="C80" s="8">
        <v>14</v>
      </c>
      <c r="D80" s="8">
        <v>32</v>
      </c>
    </row>
    <row r="81" spans="1:4" x14ac:dyDescent="0.3">
      <c r="A81" s="6">
        <v>46</v>
      </c>
      <c r="B81" s="8">
        <v>12</v>
      </c>
      <c r="C81" s="8">
        <v>15</v>
      </c>
      <c r="D81" s="8">
        <v>27</v>
      </c>
    </row>
    <row r="82" spans="1:4" x14ac:dyDescent="0.3">
      <c r="A82" s="6">
        <v>47</v>
      </c>
      <c r="B82" s="8">
        <v>20</v>
      </c>
      <c r="C82" s="8">
        <v>20</v>
      </c>
      <c r="D82" s="8">
        <v>40</v>
      </c>
    </row>
    <row r="83" spans="1:4" x14ac:dyDescent="0.3">
      <c r="A83" s="6">
        <v>48</v>
      </c>
      <c r="B83" s="8">
        <v>16</v>
      </c>
      <c r="C83" s="8">
        <v>13</v>
      </c>
      <c r="D83" s="8">
        <v>29</v>
      </c>
    </row>
    <row r="84" spans="1:4" x14ac:dyDescent="0.3">
      <c r="A84" s="6">
        <v>49</v>
      </c>
      <c r="B84" s="8">
        <v>15</v>
      </c>
      <c r="C84" s="8">
        <v>8</v>
      </c>
      <c r="D84" s="8">
        <v>23</v>
      </c>
    </row>
    <row r="85" spans="1:4" x14ac:dyDescent="0.3">
      <c r="A85" s="6">
        <v>50</v>
      </c>
      <c r="B85" s="8">
        <v>13</v>
      </c>
      <c r="C85" s="8">
        <v>13</v>
      </c>
      <c r="D85" s="8">
        <v>26</v>
      </c>
    </row>
    <row r="86" spans="1:4" x14ac:dyDescent="0.3">
      <c r="A86" s="6">
        <v>51</v>
      </c>
      <c r="B86" s="8">
        <v>10</v>
      </c>
      <c r="C86" s="8">
        <v>12</v>
      </c>
      <c r="D86" s="8">
        <v>22</v>
      </c>
    </row>
    <row r="87" spans="1:4" x14ac:dyDescent="0.3">
      <c r="A87" s="6">
        <v>52</v>
      </c>
      <c r="B87" s="8">
        <v>10</v>
      </c>
      <c r="C87" s="8">
        <v>15</v>
      </c>
      <c r="D87" s="8">
        <v>25</v>
      </c>
    </row>
    <row r="88" spans="1:4" x14ac:dyDescent="0.3">
      <c r="A88" s="6">
        <v>53</v>
      </c>
      <c r="B88" s="8">
        <v>11</v>
      </c>
      <c r="C88" s="8">
        <v>13</v>
      </c>
      <c r="D88" s="8">
        <v>24</v>
      </c>
    </row>
    <row r="89" spans="1:4" x14ac:dyDescent="0.3">
      <c r="A89" s="6">
        <v>54</v>
      </c>
      <c r="B89" s="8">
        <v>5</v>
      </c>
      <c r="C89" s="8">
        <v>12</v>
      </c>
      <c r="D89" s="8">
        <v>17</v>
      </c>
    </row>
    <row r="90" spans="1:4" x14ac:dyDescent="0.3">
      <c r="A90" s="6">
        <v>55</v>
      </c>
      <c r="B90" s="8">
        <v>14</v>
      </c>
      <c r="C90" s="8">
        <v>6</v>
      </c>
      <c r="D90" s="8">
        <v>20</v>
      </c>
    </row>
    <row r="91" spans="1:4" x14ac:dyDescent="0.3">
      <c r="A91" s="6">
        <v>56</v>
      </c>
      <c r="B91" s="8">
        <v>14</v>
      </c>
      <c r="C91" s="8">
        <v>3</v>
      </c>
      <c r="D91" s="8">
        <v>17</v>
      </c>
    </row>
    <row r="92" spans="1:4" x14ac:dyDescent="0.3">
      <c r="A92" s="6">
        <v>57</v>
      </c>
      <c r="B92" s="8">
        <v>4</v>
      </c>
      <c r="C92" s="8">
        <v>4</v>
      </c>
      <c r="D92" s="8">
        <v>8</v>
      </c>
    </row>
    <row r="93" spans="1:4" x14ac:dyDescent="0.3">
      <c r="A93" s="6">
        <v>58</v>
      </c>
      <c r="B93" s="8">
        <v>8</v>
      </c>
      <c r="C93" s="8">
        <v>4</v>
      </c>
      <c r="D93" s="8">
        <v>12</v>
      </c>
    </row>
    <row r="94" spans="1:4" x14ac:dyDescent="0.3">
      <c r="A94" s="6">
        <v>59</v>
      </c>
      <c r="B94" s="8">
        <v>14</v>
      </c>
      <c r="C94" s="8">
        <v>7</v>
      </c>
      <c r="D94" s="8">
        <v>21</v>
      </c>
    </row>
    <row r="95" spans="1:4" x14ac:dyDescent="0.3">
      <c r="A95" s="6">
        <v>60</v>
      </c>
      <c r="B95" s="8">
        <v>8</v>
      </c>
      <c r="C95" s="8">
        <v>7</v>
      </c>
      <c r="D95" s="8">
        <v>15</v>
      </c>
    </row>
    <row r="96" spans="1:4" x14ac:dyDescent="0.3">
      <c r="A96" s="6">
        <v>61</v>
      </c>
      <c r="B96" s="8">
        <v>5</v>
      </c>
      <c r="C96" s="8">
        <v>4</v>
      </c>
      <c r="D96" s="8">
        <v>9</v>
      </c>
    </row>
    <row r="97" spans="1:4" x14ac:dyDescent="0.3">
      <c r="A97" s="6">
        <v>62</v>
      </c>
      <c r="B97" s="8">
        <v>9</v>
      </c>
      <c r="C97" s="8">
        <v>4</v>
      </c>
      <c r="D97" s="8">
        <v>13</v>
      </c>
    </row>
    <row r="98" spans="1:4" x14ac:dyDescent="0.3">
      <c r="A98" s="6">
        <v>63</v>
      </c>
      <c r="B98" s="8">
        <v>9</v>
      </c>
      <c r="C98" s="8">
        <v>2</v>
      </c>
      <c r="D98" s="8">
        <v>11</v>
      </c>
    </row>
    <row r="99" spans="1:4" x14ac:dyDescent="0.3">
      <c r="A99" s="6">
        <v>64</v>
      </c>
      <c r="B99" s="8">
        <v>7</v>
      </c>
      <c r="C99" s="8">
        <v>3</v>
      </c>
      <c r="D99" s="8">
        <v>10</v>
      </c>
    </row>
    <row r="100" spans="1:4" x14ac:dyDescent="0.3">
      <c r="A100" s="6">
        <v>65</v>
      </c>
      <c r="B100" s="8">
        <v>6</v>
      </c>
      <c r="C100" s="8">
        <v>3</v>
      </c>
      <c r="D100" s="8">
        <v>9</v>
      </c>
    </row>
    <row r="101" spans="1:4" x14ac:dyDescent="0.3">
      <c r="A101" s="6">
        <v>66</v>
      </c>
      <c r="B101" s="8">
        <v>8</v>
      </c>
      <c r="C101" s="8">
        <v>6</v>
      </c>
      <c r="D101" s="8">
        <v>14</v>
      </c>
    </row>
    <row r="102" spans="1:4" x14ac:dyDescent="0.3">
      <c r="A102" s="6">
        <v>67</v>
      </c>
      <c r="B102" s="8">
        <v>8</v>
      </c>
      <c r="C102" s="8">
        <v>2</v>
      </c>
      <c r="D102" s="8">
        <v>10</v>
      </c>
    </row>
    <row r="103" spans="1:4" x14ac:dyDescent="0.3">
      <c r="A103" s="6">
        <v>68</v>
      </c>
      <c r="B103" s="8">
        <v>3</v>
      </c>
      <c r="C103" s="8"/>
      <c r="D103" s="8">
        <v>3</v>
      </c>
    </row>
    <row r="104" spans="1:4" x14ac:dyDescent="0.3">
      <c r="A104" s="6">
        <v>69</v>
      </c>
      <c r="B104" s="8">
        <v>8</v>
      </c>
      <c r="C104" s="8"/>
      <c r="D104" s="8">
        <v>8</v>
      </c>
    </row>
    <row r="105" spans="1:4" x14ac:dyDescent="0.3">
      <c r="A105" s="6">
        <v>70</v>
      </c>
      <c r="B105" s="8">
        <v>3</v>
      </c>
      <c r="C105" s="8">
        <v>1</v>
      </c>
      <c r="D105" s="8">
        <v>4</v>
      </c>
    </row>
    <row r="106" spans="1:4" x14ac:dyDescent="0.3">
      <c r="A106" s="6">
        <v>71</v>
      </c>
      <c r="B106" s="8">
        <v>1</v>
      </c>
      <c r="C106" s="8"/>
      <c r="D106" s="8">
        <v>1</v>
      </c>
    </row>
    <row r="107" spans="1:4" x14ac:dyDescent="0.3">
      <c r="A107" s="6">
        <v>72</v>
      </c>
      <c r="B107" s="8"/>
      <c r="C107" s="8">
        <v>1</v>
      </c>
      <c r="D107" s="8">
        <v>1</v>
      </c>
    </row>
    <row r="108" spans="1:4" x14ac:dyDescent="0.3">
      <c r="A108" s="6">
        <v>73</v>
      </c>
      <c r="B108" s="8">
        <v>2</v>
      </c>
      <c r="C108" s="8">
        <v>2</v>
      </c>
      <c r="D108" s="8">
        <v>4</v>
      </c>
    </row>
    <row r="109" spans="1:4" x14ac:dyDescent="0.3">
      <c r="A109" s="6">
        <v>74</v>
      </c>
      <c r="B109" s="8"/>
      <c r="C109" s="8">
        <v>1</v>
      </c>
      <c r="D109" s="8">
        <v>1</v>
      </c>
    </row>
    <row r="110" spans="1:4" x14ac:dyDescent="0.3">
      <c r="A110" s="6">
        <v>78</v>
      </c>
      <c r="B110" s="8">
        <v>1</v>
      </c>
      <c r="C110" s="8">
        <v>1</v>
      </c>
      <c r="D110" s="8">
        <v>2</v>
      </c>
    </row>
    <row r="111" spans="1:4" x14ac:dyDescent="0.3">
      <c r="A111" s="6">
        <v>80</v>
      </c>
      <c r="B111" s="8">
        <v>1</v>
      </c>
      <c r="C111" s="8"/>
      <c r="D111" s="8">
        <v>1</v>
      </c>
    </row>
    <row r="112" spans="1:4" x14ac:dyDescent="0.3">
      <c r="A112" s="6">
        <v>89</v>
      </c>
      <c r="B112" s="8">
        <v>1</v>
      </c>
      <c r="C112" s="8"/>
      <c r="D112" s="8">
        <v>1</v>
      </c>
    </row>
    <row r="113" spans="1:4" x14ac:dyDescent="0.3">
      <c r="A113" s="6" t="s">
        <v>42</v>
      </c>
      <c r="B113" s="8">
        <v>531</v>
      </c>
      <c r="C113" s="8">
        <v>495</v>
      </c>
      <c r="D113" s="8">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12298-397C-4767-800D-511BBD4A49F2}">
  <dimension ref="A1:O6"/>
  <sheetViews>
    <sheetView showGridLines="0" tabSelected="1" zoomScale="80" zoomScaleNormal="80" workbookViewId="0">
      <selection activeCell="B19" sqref="B19"/>
    </sheetView>
  </sheetViews>
  <sheetFormatPr defaultRowHeight="14.4" x14ac:dyDescent="0.3"/>
  <sheetData>
    <row r="1" spans="1:15" x14ac:dyDescent="0.3">
      <c r="A1" s="9"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pabhiram2709@gmail.com</cp:lastModifiedBy>
  <dcterms:created xsi:type="dcterms:W3CDTF">2022-03-18T02:50:57Z</dcterms:created>
  <dcterms:modified xsi:type="dcterms:W3CDTF">2026-06-01T14:29:09Z</dcterms:modified>
</cp:coreProperties>
</file>